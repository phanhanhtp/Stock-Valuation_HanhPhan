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 MARKET\Hanh_submit Feb2026\Teaching Presentation\"/>
    </mc:Choice>
  </mc:AlternateContent>
  <xr:revisionPtr revIDLastSave="0" documentId="13_ncr:1_{462F2795-CD0E-44B0-90B6-15FE5D8715A2}" xr6:coauthVersionLast="47" xr6:coauthVersionMax="47" xr10:uidLastSave="{00000000-0000-0000-0000-000000000000}"/>
  <bookViews>
    <workbookView xWindow="-108" yWindow="-108" windowWidth="23256" windowHeight="12456" xr2:uid="{07B8BA0A-5874-462C-A29F-B53DFC768FE6}"/>
  </bookViews>
  <sheets>
    <sheet name="Relative Valuation_Nike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R13" i="1" s="1"/>
  <c r="M12" i="1"/>
  <c r="R12" i="1" s="1"/>
  <c r="M11" i="1"/>
  <c r="R11" i="1" s="1"/>
  <c r="M10" i="1"/>
  <c r="R10" i="1" s="1"/>
  <c r="M8" i="1"/>
  <c r="R8" i="1" s="1"/>
  <c r="Q8" i="1"/>
  <c r="P8" i="1"/>
  <c r="O8" i="1"/>
  <c r="O10" i="1"/>
  <c r="P10" i="1"/>
  <c r="P16" i="1" s="1"/>
  <c r="Q10" i="1"/>
  <c r="O11" i="1"/>
  <c r="P11" i="1"/>
  <c r="Q11" i="1"/>
  <c r="O12" i="1"/>
  <c r="P12" i="1"/>
  <c r="Q12" i="1"/>
  <c r="O13" i="1"/>
  <c r="P13" i="1"/>
  <c r="Q13" i="1"/>
  <c r="R16" i="1" l="1"/>
  <c r="O16" i="1"/>
  <c r="P15" i="1"/>
  <c r="Q15" i="1"/>
  <c r="Q16" i="1"/>
  <c r="R15" i="1"/>
  <c r="O15" i="1"/>
</calcChain>
</file>

<file path=xl/sharedStrings.xml><?xml version="1.0" encoding="utf-8"?>
<sst xmlns="http://schemas.openxmlformats.org/spreadsheetml/2006/main" count="42" uniqueCount="33">
  <si>
    <t>Market Data</t>
  </si>
  <si>
    <t>Financial Data</t>
  </si>
  <si>
    <t>Valuation</t>
  </si>
  <si>
    <t>Price</t>
  </si>
  <si>
    <t>Market Cap</t>
  </si>
  <si>
    <t>EV</t>
  </si>
  <si>
    <t>Sales</t>
  </si>
  <si>
    <t>EBITDA</t>
  </si>
  <si>
    <t>EBIT</t>
  </si>
  <si>
    <t>Earnings</t>
  </si>
  <si>
    <t>EV/Sales</t>
  </si>
  <si>
    <t>EV/EBITDA</t>
  </si>
  <si>
    <t>EV/EBIT</t>
  </si>
  <si>
    <t>P/E</t>
  </si>
  <si>
    <t>Company Name</t>
  </si>
  <si>
    <t>($/share)</t>
  </si>
  <si>
    <t>x</t>
  </si>
  <si>
    <t>Median</t>
  </si>
  <si>
    <t>Mean</t>
  </si>
  <si>
    <t>Nike, Inc.</t>
  </si>
  <si>
    <t xml:space="preserve">lululemon athletica inc. </t>
  </si>
  <si>
    <t>On Holding AG</t>
  </si>
  <si>
    <t xml:space="preserve">The Gap, Inc. </t>
  </si>
  <si>
    <t>Deckers Outdoor Corporation</t>
  </si>
  <si>
    <t>($B)</t>
  </si>
  <si>
    <t>EPS</t>
  </si>
  <si>
    <t>Shares Outstanding</t>
  </si>
  <si>
    <t>(M shares)</t>
  </si>
  <si>
    <t>Income Statement (TTM)</t>
  </si>
  <si>
    <t>Time: 4:00 pm on 03/19/2026</t>
  </si>
  <si>
    <t>Notes</t>
  </si>
  <si>
    <t>Sector: Consumer Discreationary</t>
  </si>
  <si>
    <t>Data source: seekingalpha.com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</si>
</sst>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\x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 Narrow"/>
      <family val="2"/>
    </font>
    <font>
      <b/>
      <sz val="11"/>
      <color theme="0"/>
      <name val="Arial Narrow"/>
      <family val="2"/>
    </font>
    <font>
      <i/>
      <sz val="9"/>
      <color theme="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0" tint="-4.9989318521683403E-2"/>
      <name val="Arial Narrow"/>
      <family val="2"/>
    </font>
    <font>
      <sz val="12"/>
      <color theme="1"/>
      <name val="Arial Narrow"/>
      <family val="2"/>
    </font>
    <font>
      <i/>
      <sz val="11"/>
      <color theme="1"/>
      <name val="Aptos Narrow"/>
      <family val="2"/>
      <scheme val="minor"/>
    </font>
    <font>
      <sz val="28"/>
      <color rgb="FF00B050"/>
      <name val="Aptos Narrow"/>
      <family val="2"/>
      <scheme val="minor"/>
    </font>
    <font>
      <sz val="12"/>
      <color rgb="FF4EA42C"/>
      <name val="Arial Narrow"/>
      <family val="2"/>
    </font>
    <font>
      <b/>
      <sz val="12"/>
      <color rgb="FF4EA42C"/>
      <name val="Arial Narrow"/>
      <family val="2"/>
    </font>
    <font>
      <sz val="12"/>
      <color rgb="FF4EA42C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Continuous" vertical="center"/>
    </xf>
    <xf numFmtId="0" fontId="2" fillId="2" borderId="0" xfId="0" applyFont="1" applyFill="1" applyAlignment="1">
      <alignment horizontal="centerContinuous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164" fontId="7" fillId="2" borderId="0" xfId="0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164" fontId="8" fillId="3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9" fillId="0" borderId="0" xfId="0" applyFont="1"/>
    <xf numFmtId="0" fontId="10" fillId="0" borderId="0" xfId="0" applyFont="1"/>
    <xf numFmtId="2" fontId="11" fillId="3" borderId="0" xfId="0" applyNumberFormat="1" applyFont="1" applyFill="1" applyAlignment="1">
      <alignment horizontal="right" vertical="center"/>
    </xf>
    <xf numFmtId="2" fontId="12" fillId="3" borderId="0" xfId="0" applyNumberFormat="1" applyFont="1" applyFill="1" applyAlignment="1">
      <alignment horizontal="right" vertical="center"/>
    </xf>
    <xf numFmtId="2" fontId="11" fillId="0" borderId="0" xfId="0" applyNumberFormat="1" applyFont="1" applyAlignment="1">
      <alignment vertical="center"/>
    </xf>
    <xf numFmtId="2" fontId="13" fillId="0" borderId="0" xfId="0" applyNumberFormat="1" applyFont="1"/>
    <xf numFmtId="2" fontId="11" fillId="0" borderId="0" xfId="0" applyNumberFormat="1" applyFont="1" applyAlignment="1">
      <alignment horizontal="right" vertical="center"/>
    </xf>
    <xf numFmtId="2" fontId="12" fillId="0" borderId="0" xfId="0" applyNumberFormat="1" applyFont="1" applyAlignment="1">
      <alignment horizontal="right" vertical="center"/>
    </xf>
    <xf numFmtId="43" fontId="11" fillId="3" borderId="0" xfId="1" applyFont="1" applyFill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4EA4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A41F-CFD1-4FEF-9079-070F4C9141B5}">
  <dimension ref="A2:R21"/>
  <sheetViews>
    <sheetView tabSelected="1" zoomScale="120" zoomScaleNormal="120" workbookViewId="0">
      <selection activeCell="G22" sqref="G22"/>
    </sheetView>
  </sheetViews>
  <sheetFormatPr defaultRowHeight="14.4" x14ac:dyDescent="0.3"/>
  <cols>
    <col min="1" max="1" width="3" customWidth="1"/>
    <col min="2" max="2" width="28.5546875" customWidth="1"/>
    <col min="3" max="3" width="3.88671875" customWidth="1"/>
    <col min="4" max="4" width="12.21875" customWidth="1"/>
    <col min="7" max="7" width="3" customWidth="1"/>
    <col min="8" max="8" width="10" customWidth="1"/>
    <col min="9" max="9" width="7.5546875" customWidth="1"/>
    <col min="10" max="10" width="8.109375" customWidth="1"/>
    <col min="11" max="11" width="7.5546875" customWidth="1"/>
    <col min="12" max="12" width="9.33203125" customWidth="1"/>
    <col min="13" max="13" width="9" customWidth="1"/>
    <col min="14" max="14" width="4.109375" customWidth="1"/>
    <col min="15" max="15" width="10.6640625" customWidth="1"/>
    <col min="16" max="16" width="11.5546875" customWidth="1"/>
    <col min="17" max="17" width="10.21875" customWidth="1"/>
    <col min="18" max="18" width="11.109375" customWidth="1"/>
  </cols>
  <sheetData>
    <row r="2" spans="2:18" ht="27.6" customHeight="1" x14ac:dyDescent="0.7">
      <c r="B2" s="23" t="s">
        <v>31</v>
      </c>
    </row>
    <row r="3" spans="2:18" ht="21" customHeight="1" x14ac:dyDescent="0.3"/>
    <row r="4" spans="2:18" x14ac:dyDescent="0.3">
      <c r="B4" s="2"/>
      <c r="C4" s="13"/>
      <c r="D4" s="3" t="s">
        <v>0</v>
      </c>
      <c r="E4" s="4"/>
      <c r="F4" s="4"/>
      <c r="G4" s="13"/>
      <c r="H4" s="3" t="s">
        <v>1</v>
      </c>
      <c r="I4" s="4"/>
      <c r="J4" s="4"/>
      <c r="K4" s="4"/>
      <c r="L4" s="3"/>
      <c r="M4" s="3"/>
      <c r="N4" s="13"/>
      <c r="O4" s="3" t="s">
        <v>2</v>
      </c>
      <c r="P4" s="4"/>
      <c r="Q4" s="4"/>
      <c r="R4" s="3"/>
    </row>
    <row r="5" spans="2:18" x14ac:dyDescent="0.3">
      <c r="B5" s="5" t="s">
        <v>14</v>
      </c>
      <c r="C5" s="15"/>
      <c r="D5" s="9" t="s">
        <v>3</v>
      </c>
      <c r="E5" s="9" t="s">
        <v>4</v>
      </c>
      <c r="F5" s="9" t="s">
        <v>5</v>
      </c>
      <c r="G5" s="11"/>
      <c r="H5" s="9" t="s">
        <v>6</v>
      </c>
      <c r="I5" s="9" t="s">
        <v>7</v>
      </c>
      <c r="J5" s="9" t="s">
        <v>8</v>
      </c>
      <c r="K5" s="9" t="s">
        <v>9</v>
      </c>
      <c r="L5" s="9" t="s">
        <v>26</v>
      </c>
      <c r="M5" s="9" t="s">
        <v>25</v>
      </c>
      <c r="N5" s="12"/>
      <c r="O5" s="9" t="s">
        <v>10</v>
      </c>
      <c r="P5" s="9" t="s">
        <v>11</v>
      </c>
      <c r="Q5" s="9" t="s">
        <v>12</v>
      </c>
      <c r="R5" s="9" t="s">
        <v>13</v>
      </c>
    </row>
    <row r="6" spans="2:18" x14ac:dyDescent="0.3">
      <c r="B6" s="16"/>
      <c r="C6" s="15"/>
      <c r="D6" s="7" t="s">
        <v>15</v>
      </c>
      <c r="E6" s="7" t="s">
        <v>24</v>
      </c>
      <c r="F6" s="7" t="s">
        <v>24</v>
      </c>
      <c r="G6" s="11"/>
      <c r="H6" s="7" t="s">
        <v>24</v>
      </c>
      <c r="I6" s="7" t="s">
        <v>24</v>
      </c>
      <c r="J6" s="7" t="s">
        <v>24</v>
      </c>
      <c r="K6" s="7" t="s">
        <v>24</v>
      </c>
      <c r="L6" s="7" t="s">
        <v>27</v>
      </c>
      <c r="M6" s="7" t="s">
        <v>15</v>
      </c>
      <c r="N6" s="12"/>
      <c r="O6" s="7" t="s">
        <v>16</v>
      </c>
      <c r="P6" s="6" t="s">
        <v>16</v>
      </c>
      <c r="Q6" s="6" t="s">
        <v>16</v>
      </c>
      <c r="R6" s="6" t="s">
        <v>16</v>
      </c>
    </row>
    <row r="7" spans="2:18" x14ac:dyDescent="0.3">
      <c r="N7" s="12"/>
      <c r="O7" s="10"/>
      <c r="P7" s="12"/>
      <c r="Q7" s="12"/>
      <c r="R7" s="12"/>
    </row>
    <row r="8" spans="2:18" ht="15.6" x14ac:dyDescent="0.3">
      <c r="B8" s="18" t="s">
        <v>19</v>
      </c>
      <c r="C8" s="18"/>
      <c r="D8" s="24">
        <v>53.44</v>
      </c>
      <c r="E8" s="24">
        <v>79.16</v>
      </c>
      <c r="F8" s="24">
        <v>82.09</v>
      </c>
      <c r="G8" s="25"/>
      <c r="H8" s="24">
        <v>46.51</v>
      </c>
      <c r="I8" s="24">
        <v>3.81</v>
      </c>
      <c r="J8" s="24">
        <v>3.04</v>
      </c>
      <c r="K8" s="24">
        <v>2.52</v>
      </c>
      <c r="L8" s="30">
        <v>1480</v>
      </c>
      <c r="M8" s="24">
        <f>K8/L8*1000</f>
        <v>1.7027027027027026</v>
      </c>
      <c r="N8" s="18"/>
      <c r="O8" s="19">
        <f>F8/H8</f>
        <v>1.7649967748871211</v>
      </c>
      <c r="P8" s="19">
        <f>F8/I8</f>
        <v>21.545931758530184</v>
      </c>
      <c r="Q8" s="19">
        <f>F8/J8</f>
        <v>27.003289473684212</v>
      </c>
      <c r="R8" s="19">
        <f>D8/M8</f>
        <v>31.385396825396825</v>
      </c>
    </row>
    <row r="9" spans="2:18" ht="15.6" x14ac:dyDescent="0.3">
      <c r="B9" s="20"/>
      <c r="C9" s="20"/>
      <c r="D9" s="28"/>
      <c r="E9" s="28"/>
      <c r="F9" s="28"/>
      <c r="G9" s="29"/>
      <c r="H9" s="28"/>
      <c r="I9" s="28"/>
      <c r="J9" s="28"/>
      <c r="K9" s="28"/>
      <c r="L9" s="28"/>
      <c r="M9" s="28"/>
      <c r="N9" s="20"/>
      <c r="O9" s="21"/>
      <c r="P9" s="21"/>
      <c r="Q9" s="21"/>
      <c r="R9" s="21"/>
    </row>
    <row r="10" spans="2:18" ht="15.6" x14ac:dyDescent="0.3">
      <c r="B10" s="20" t="s">
        <v>20</v>
      </c>
      <c r="C10" s="20"/>
      <c r="D10" s="26">
        <v>165.57</v>
      </c>
      <c r="E10" s="26">
        <v>19.12</v>
      </c>
      <c r="F10" s="26">
        <v>19.11</v>
      </c>
      <c r="G10" s="26"/>
      <c r="H10" s="26">
        <v>11.1</v>
      </c>
      <c r="I10" s="26">
        <v>2.71</v>
      </c>
      <c r="J10" s="26">
        <v>2.21</v>
      </c>
      <c r="K10" s="26">
        <v>1.58</v>
      </c>
      <c r="L10" s="27">
        <v>115.6</v>
      </c>
      <c r="M10" s="28">
        <f>K10/L10*1000</f>
        <v>13.667820069204154</v>
      </c>
      <c r="N10" s="20"/>
      <c r="O10" s="21">
        <f t="shared" ref="O10:O13" si="0">F10/H10</f>
        <v>1.7216216216216216</v>
      </c>
      <c r="P10" s="21">
        <f t="shared" ref="P10:P13" si="1">F10/I10</f>
        <v>7.0516605166051658</v>
      </c>
      <c r="Q10" s="21">
        <f t="shared" ref="Q10:Q13" si="2">F10/J10</f>
        <v>8.6470588235294112</v>
      </c>
      <c r="R10" s="21">
        <f t="shared" ref="R10:R13" si="3">D10/M10</f>
        <v>12.113855696202529</v>
      </c>
    </row>
    <row r="11" spans="2:18" ht="15.6" x14ac:dyDescent="0.3">
      <c r="B11" s="20" t="s">
        <v>21</v>
      </c>
      <c r="C11" s="20"/>
      <c r="D11" s="26">
        <v>38.869999999999997</v>
      </c>
      <c r="E11" s="26">
        <v>12.93</v>
      </c>
      <c r="F11" s="26">
        <v>12.25</v>
      </c>
      <c r="G11" s="26"/>
      <c r="H11" s="26">
        <v>3.8</v>
      </c>
      <c r="I11" s="26">
        <v>0.53010000000000002</v>
      </c>
      <c r="J11" s="26">
        <v>0.47499999999999998</v>
      </c>
      <c r="K11" s="26">
        <v>0.25700000000000001</v>
      </c>
      <c r="L11" s="27">
        <v>331</v>
      </c>
      <c r="M11" s="28">
        <f>K11/L11*1000</f>
        <v>0.77643504531722063</v>
      </c>
      <c r="N11" s="20"/>
      <c r="O11" s="21">
        <f t="shared" si="0"/>
        <v>3.2236842105263159</v>
      </c>
      <c r="P11" s="21">
        <f t="shared" si="1"/>
        <v>23.108847387285419</v>
      </c>
      <c r="Q11" s="21">
        <f t="shared" si="2"/>
        <v>25.789473684210527</v>
      </c>
      <c r="R11" s="21">
        <f t="shared" si="3"/>
        <v>50.062140077821006</v>
      </c>
    </row>
    <row r="12" spans="2:18" ht="15.6" x14ac:dyDescent="0.3">
      <c r="B12" s="20" t="s">
        <v>22</v>
      </c>
      <c r="C12" s="20"/>
      <c r="D12" s="26">
        <v>24.08</v>
      </c>
      <c r="E12" s="26">
        <v>8.9499999999999993</v>
      </c>
      <c r="F12" s="26">
        <v>11.56</v>
      </c>
      <c r="G12" s="26"/>
      <c r="H12" s="26">
        <v>15.37</v>
      </c>
      <c r="I12" s="26">
        <v>1.6</v>
      </c>
      <c r="J12" s="26">
        <v>1.1000000000000001</v>
      </c>
      <c r="K12" s="26">
        <v>0.81599999999999995</v>
      </c>
      <c r="L12" s="27">
        <v>372.56</v>
      </c>
      <c r="M12" s="28">
        <f>K12/L12*1000</f>
        <v>2.1902512347004506</v>
      </c>
      <c r="N12" s="20"/>
      <c r="O12" s="21">
        <f t="shared" si="0"/>
        <v>0.75211450878334429</v>
      </c>
      <c r="P12" s="21">
        <f t="shared" si="1"/>
        <v>7.2249999999999996</v>
      </c>
      <c r="Q12" s="21">
        <f t="shared" si="2"/>
        <v>10.509090909090908</v>
      </c>
      <c r="R12" s="21">
        <f t="shared" si="3"/>
        <v>10.994172549019609</v>
      </c>
    </row>
    <row r="13" spans="2:18" ht="15.6" x14ac:dyDescent="0.3">
      <c r="B13" s="20" t="s">
        <v>23</v>
      </c>
      <c r="C13" s="20"/>
      <c r="D13" s="26">
        <v>104.91</v>
      </c>
      <c r="E13" s="26">
        <v>14.84</v>
      </c>
      <c r="F13" s="26">
        <v>13.1</v>
      </c>
      <c r="G13" s="26"/>
      <c r="H13" s="26">
        <v>5.37</v>
      </c>
      <c r="I13" s="26">
        <v>1.36</v>
      </c>
      <c r="J13" s="26">
        <v>1.28</v>
      </c>
      <c r="K13" s="26">
        <v>1.04</v>
      </c>
      <c r="L13" s="27">
        <v>141.94999999999999</v>
      </c>
      <c r="M13" s="28">
        <f>K13/L13*1000</f>
        <v>7.3265234237407553</v>
      </c>
      <c r="N13" s="20"/>
      <c r="O13" s="21">
        <f t="shared" si="0"/>
        <v>2.4394785847299811</v>
      </c>
      <c r="P13" s="21">
        <f t="shared" si="1"/>
        <v>9.6323529411764692</v>
      </c>
      <c r="Q13" s="21">
        <f t="shared" si="2"/>
        <v>10.234375</v>
      </c>
      <c r="R13" s="21">
        <f t="shared" si="3"/>
        <v>14.319206249999997</v>
      </c>
    </row>
    <row r="14" spans="2:18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N14" s="1"/>
      <c r="O14" s="1"/>
      <c r="P14" s="1"/>
      <c r="Q14" s="1"/>
      <c r="R14" s="1"/>
    </row>
    <row r="15" spans="2:18" x14ac:dyDescent="0.3">
      <c r="B15" s="5" t="s">
        <v>18</v>
      </c>
      <c r="C15" s="14"/>
      <c r="D15" s="8"/>
      <c r="E15" s="8"/>
      <c r="F15" s="8"/>
      <c r="G15" s="14"/>
      <c r="H15" s="8"/>
      <c r="I15" s="8"/>
      <c r="J15" s="8"/>
      <c r="K15" s="8"/>
      <c r="L15" s="16"/>
      <c r="M15" s="16"/>
      <c r="N15" s="14"/>
      <c r="O15" s="17">
        <f>AVERAGE(O10:O13)</f>
        <v>2.0342247314153159</v>
      </c>
      <c r="P15" s="17">
        <f t="shared" ref="P15:R15" si="4">AVERAGE(P10:P13)</f>
        <v>11.754465211266764</v>
      </c>
      <c r="Q15" s="17">
        <f t="shared" si="4"/>
        <v>13.794999604207712</v>
      </c>
      <c r="R15" s="17">
        <f t="shared" si="4"/>
        <v>21.872343643260784</v>
      </c>
    </row>
    <row r="16" spans="2:18" x14ac:dyDescent="0.3">
      <c r="B16" s="5" t="s">
        <v>17</v>
      </c>
      <c r="C16" s="14"/>
      <c r="D16" s="8"/>
      <c r="E16" s="8"/>
      <c r="F16" s="8"/>
      <c r="G16" s="14"/>
      <c r="H16" s="8"/>
      <c r="I16" s="8"/>
      <c r="J16" s="8"/>
      <c r="K16" s="8"/>
      <c r="L16" s="16"/>
      <c r="M16" s="16"/>
      <c r="N16" s="14"/>
      <c r="O16" s="17">
        <f>MEDIAN(O10:O13)</f>
        <v>2.0805501031758014</v>
      </c>
      <c r="P16" s="17">
        <f t="shared" ref="P16:R16" si="5">MEDIAN(P10:P13)</f>
        <v>8.4286764705882344</v>
      </c>
      <c r="Q16" s="17">
        <f t="shared" si="5"/>
        <v>10.371732954545454</v>
      </c>
      <c r="R16" s="17">
        <f t="shared" si="5"/>
        <v>13.216530973101264</v>
      </c>
    </row>
    <row r="18" spans="1:2" x14ac:dyDescent="0.3">
      <c r="B18" s="22" t="s">
        <v>30</v>
      </c>
    </row>
    <row r="19" spans="1:2" x14ac:dyDescent="0.3">
      <c r="A19" s="22"/>
      <c r="B19" s="22" t="s">
        <v>32</v>
      </c>
    </row>
    <row r="20" spans="1:2" x14ac:dyDescent="0.3">
      <c r="A20" s="22"/>
      <c r="B20" s="22" t="s">
        <v>29</v>
      </c>
    </row>
    <row r="21" spans="1:2" x14ac:dyDescent="0.3">
      <c r="A21" s="22"/>
      <c r="B21" s="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Relative Valuation_Nike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Phan</dc:creator>
  <cp:lastModifiedBy>Hanh Phan</cp:lastModifiedBy>
  <dcterms:created xsi:type="dcterms:W3CDTF">2026-03-20T01:57:45Z</dcterms:created>
  <dcterms:modified xsi:type="dcterms:W3CDTF">2026-03-23T03:03:46Z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{73C73171-CB2B-4DDB-B7B0-BB60831A2EF9}</vt:lpwstr>
  </property>
</Properties>
</file>